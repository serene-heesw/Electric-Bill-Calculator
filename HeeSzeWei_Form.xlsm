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eneee\Desktop\"/>
    </mc:Choice>
  </mc:AlternateContent>
  <xr:revisionPtr revIDLastSave="0" documentId="13_ncr:1_{843CE34B-157C-4D62-B6ED-E2920D6A95F2}" xr6:coauthVersionLast="47" xr6:coauthVersionMax="47" xr10:uidLastSave="{00000000-0000-0000-0000-000000000000}"/>
  <bookViews>
    <workbookView xWindow="-108" yWindow="-108" windowWidth="23256" windowHeight="12576" xr2:uid="{2415A4CB-AFEF-4ED3-9DF6-28DD1EA319D6}"/>
  </bookViews>
  <sheets>
    <sheet name="Filled Form" sheetId="4" r:id="rId1"/>
  </sheets>
  <functionGroups builtInGroupCount="19"/>
  <definedNames>
    <definedName name="_xlnm._FilterDatabase" localSheetId="0" hidden="1">'Filled Form'!$C$8:$K$18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9" i="4" l="1"/>
  <c r="J26" i="4"/>
  <c r="J24" i="4"/>
  <c r="E34" i="4" a="1"/>
  <c r="C47" i="4" a="1"/>
  <c r="H46" i="4" a="1"/>
  <c r="E60" i="4" a="1"/>
  <c r="E33" i="4" a="1"/>
  <c r="E36" i="4" a="1"/>
  <c r="E35" i="4" a="1"/>
  <c r="C15" i="4" a="1"/>
  <c r="E37" i="4" a="1"/>
  <c r="E35" i="4" l="1"/>
  <c r="J35" i="4" s="1"/>
  <c r="C15" i="4"/>
  <c r="E33" i="4"/>
  <c r="H46" i="4"/>
  <c r="J46" i="4" s="1"/>
  <c r="E36" i="4"/>
  <c r="E60" i="4"/>
  <c r="E61" i="4" s="1"/>
  <c r="E63" i="4" s="1"/>
  <c r="G26" i="4" s="1"/>
  <c r="E34" i="4"/>
  <c r="J34" i="4" s="1"/>
  <c r="C47" i="4"/>
  <c r="E37" i="4"/>
  <c r="J37" i="4" s="1"/>
  <c r="J33" i="4" l="1"/>
  <c r="H45" i="4" s="1"/>
  <c r="H44" i="4"/>
  <c r="E39" i="4"/>
  <c r="I44" i="4"/>
  <c r="J36" i="4"/>
  <c r="H47" i="4" a="1"/>
  <c r="J39" i="4" a="1"/>
  <c r="J39" i="4" l="1"/>
  <c r="J51" i="4" s="1"/>
  <c r="H47" i="4"/>
  <c r="H49" i="4" s="1"/>
  <c r="I45" i="4"/>
  <c r="J45" i="4" s="1"/>
  <c r="J44" i="4"/>
  <c r="I50" i="4" l="1"/>
  <c r="J50" i="4" s="1"/>
  <c r="I49" i="4"/>
  <c r="J49" i="4" s="1"/>
  <c r="J52" i="4" l="1"/>
  <c r="J54" i="4" a="1"/>
  <c r="J54" i="4" l="1"/>
  <c r="J56" i="4" s="1"/>
  <c r="G27" i="4" s="1"/>
  <c r="G28" i="4" s="1"/>
  <c r="G23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<sst xmlns="http://schemas.openxmlformats.org/spreadsheetml/2006/main" count="68" uniqueCount="55">
  <si>
    <t>Bill Date</t>
  </si>
  <si>
    <t>Current Charges</t>
  </si>
  <si>
    <t>Outstanding Charges</t>
  </si>
  <si>
    <t>Total Bill</t>
  </si>
  <si>
    <t>Amount</t>
  </si>
  <si>
    <t>Due Date</t>
  </si>
  <si>
    <t>RM</t>
  </si>
  <si>
    <t>Tariff</t>
  </si>
  <si>
    <t>Prorated Factor</t>
  </si>
  <si>
    <t>Tariff Block (kWh)</t>
  </si>
  <si>
    <t>Prorated Block (kWh)</t>
  </si>
  <si>
    <t>Rates (RM)</t>
  </si>
  <si>
    <t>Amount (RM)</t>
  </si>
  <si>
    <t>:</t>
  </si>
  <si>
    <t>Total</t>
  </si>
  <si>
    <t>Description &amp; Quantity</t>
  </si>
  <si>
    <t>Charged</t>
  </si>
  <si>
    <t xml:space="preserve">No ST </t>
  </si>
  <si>
    <t>ST</t>
  </si>
  <si>
    <t>Service Tax (6%)</t>
  </si>
  <si>
    <t>KWTBB (1.6%)</t>
  </si>
  <si>
    <t>Electricity Comsumed</t>
  </si>
  <si>
    <t>kWh</t>
  </si>
  <si>
    <t xml:space="preserve">Comsumption </t>
  </si>
  <si>
    <t>Consumption for the Month</t>
  </si>
  <si>
    <t>&gt; 900</t>
  </si>
  <si>
    <t>Rebate ICPT (RM0.02/kWh)</t>
  </si>
  <si>
    <t>A: Kediaman</t>
  </si>
  <si>
    <t>Amount Payable : RM</t>
  </si>
  <si>
    <t>Malaysia Domestic Monthly Electric Bill Calculator</t>
  </si>
  <si>
    <t xml:space="preserve">Outstanding Charges </t>
  </si>
  <si>
    <t xml:space="preserve">Due date </t>
  </si>
  <si>
    <t xml:space="preserve">Bill Date </t>
  </si>
  <si>
    <t>Fill up all the details below</t>
  </si>
  <si>
    <r>
      <t xml:space="preserve">Total Consumption </t>
    </r>
    <r>
      <rPr>
        <b/>
        <sz val="12"/>
        <color rgb="FFFF0000"/>
        <rFont val="Times New Roman"/>
        <family val="1"/>
      </rPr>
      <t>*</t>
    </r>
  </si>
  <si>
    <r>
      <rPr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Date format 9-9-2021 or 9.9.2021</t>
    </r>
  </si>
  <si>
    <r>
      <t>*</t>
    </r>
    <r>
      <rPr>
        <sz val="11"/>
        <rFont val="Calibri"/>
        <family val="2"/>
        <scheme val="minor"/>
      </rPr>
      <t>Only fill up the column with asterisk (</t>
    </r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) if user only wish to calculate the current bill without considering </t>
    </r>
  </si>
  <si>
    <t>Penalty (Outstanding Charges)</t>
  </si>
  <si>
    <t>Penalty (1%/day)</t>
  </si>
  <si>
    <t>Penalty Charge</t>
  </si>
  <si>
    <t>Outstanding Charges          RM</t>
  </si>
  <si>
    <t>(kWh)</t>
  </si>
  <si>
    <t xml:space="preserve">(RM) </t>
  </si>
  <si>
    <t xml:space="preserve">Is your outstanding charges overdue? </t>
  </si>
  <si>
    <t xml:space="preserve">Outstanding Charges       RM </t>
  </si>
  <si>
    <t>Current Billing Charges (exclude Penalty)</t>
  </si>
  <si>
    <t>Current Billing Charges (include Penalty)</t>
  </si>
  <si>
    <r>
      <rPr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The following example is both current bill and outstanding bill is overdue.</t>
    </r>
  </si>
  <si>
    <r>
      <rPr>
        <sz val="11"/>
        <color rgb="FFFF0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The Penalty in current billing is charged when the today date is larger than the due date of the bill.</t>
    </r>
  </si>
  <si>
    <t>No. days overdue</t>
  </si>
  <si>
    <t>The amount payable and the details of the calculation of the electric bill are shown below.</t>
  </si>
  <si>
    <r>
      <t>*</t>
    </r>
    <r>
      <rPr>
        <sz val="11"/>
        <rFont val="Calibri"/>
        <family val="2"/>
        <scheme val="minor"/>
      </rPr>
      <t>Outstanding charges can be no overdue</t>
    </r>
    <r>
      <rPr>
        <sz val="11"/>
        <color rgb="FFFF0000"/>
        <rFont val="Calibri"/>
        <family val="2"/>
        <scheme val="minor"/>
      </rPr>
      <t>.</t>
    </r>
  </si>
  <si>
    <r>
      <t xml:space="preserve">  </t>
    </r>
    <r>
      <rPr>
        <sz val="11"/>
        <rFont val="Calibri"/>
        <family val="2"/>
        <scheme val="minor"/>
      </rPr>
      <t>outstanding charges and penalty.</t>
    </r>
  </si>
  <si>
    <r>
      <rPr>
        <sz val="10"/>
        <color rgb="FFFF0000"/>
        <rFont val="Candara"/>
        <family val="2"/>
      </rPr>
      <t>*</t>
    </r>
    <r>
      <rPr>
        <sz val="10"/>
        <color theme="1"/>
        <rFont val="Candara"/>
        <family val="2"/>
      </rPr>
      <t>The minimum monthly charge is RM3.00</t>
    </r>
  </si>
  <si>
    <r>
      <t>*</t>
    </r>
    <r>
      <rPr>
        <sz val="11"/>
        <rFont val="Calibri"/>
        <family val="2"/>
        <scheme val="minor"/>
      </rPr>
      <t>If user wishes to calculate another bill just click the clear button.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</si>
</sst>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sz val="12"/>
      <color theme="4" tint="-0.499984740745262"/>
      <name val="Candara"/>
      <family val="2"/>
    </font>
    <font>
      <b/>
      <sz val="12"/>
      <color theme="4" tint="-0.499984740745262"/>
      <name val="Candara"/>
      <family val="2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8"/>
      <color theme="1"/>
      <name val="Candara"/>
      <family val="2"/>
    </font>
    <font>
      <sz val="12"/>
      <color theme="1"/>
      <name val="Calibri"/>
      <family val="2"/>
      <scheme val="minor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name val="Candara"/>
      <family val="2"/>
    </font>
    <font>
      <sz val="1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0"/>
      <color theme="1"/>
      <name val="Candara"/>
      <family val="2"/>
    </font>
    <font>
      <sz val="10"/>
      <color rgb="FFFF0000"/>
      <name val="Candara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3" borderId="0" xfId="0" applyFont="1" applyFill="1" applyBorder="1" applyAlignment="1"/>
    <xf numFmtId="0" fontId="1" fillId="4" borderId="4" xfId="0" applyFont="1" applyFill="1" applyBorder="1"/>
    <xf numFmtId="0" fontId="1" fillId="4" borderId="10" xfId="0" applyFont="1" applyFill="1" applyBorder="1"/>
    <xf numFmtId="0" fontId="1" fillId="4" borderId="6" xfId="0" applyFont="1" applyFill="1" applyBorder="1"/>
    <xf numFmtId="0" fontId="1" fillId="4" borderId="1" xfId="0" applyFont="1" applyFill="1" applyBorder="1" applyAlignment="1">
      <alignment horizontal="right" vertical="center"/>
    </xf>
    <xf numFmtId="0" fontId="1" fillId="4" borderId="11" xfId="0" applyFont="1" applyFill="1" applyBorder="1"/>
    <xf numFmtId="0" fontId="1" fillId="4" borderId="0" xfId="0" applyFont="1" applyFill="1" applyBorder="1"/>
    <xf numFmtId="0" fontId="1" fillId="4" borderId="3" xfId="0" applyFont="1" applyFill="1" applyBorder="1"/>
    <xf numFmtId="0" fontId="1" fillId="4" borderId="1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/>
    <xf numFmtId="0" fontId="3" fillId="3" borderId="0" xfId="0" applyFont="1" applyFill="1" applyBorder="1" applyAlignment="1"/>
    <xf numFmtId="0" fontId="3" fillId="4" borderId="8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2" fontId="1" fillId="4" borderId="6" xfId="0" applyNumberFormat="1" applyFont="1" applyFill="1" applyBorder="1"/>
    <xf numFmtId="2" fontId="1" fillId="4" borderId="11" xfId="0" applyNumberFormat="1" applyFont="1" applyFill="1" applyBorder="1"/>
    <xf numFmtId="4" fontId="1" fillId="4" borderId="6" xfId="0" applyNumberFormat="1" applyFont="1" applyFill="1" applyBorder="1"/>
    <xf numFmtId="0" fontId="2" fillId="4" borderId="2" xfId="0" applyFont="1" applyFill="1" applyBorder="1" applyAlignment="1">
      <alignment horizontal="center" vertical="center"/>
    </xf>
    <xf numFmtId="18" fontId="0" fillId="0" borderId="0" xfId="0" applyNumberFormat="1"/>
    <xf numFmtId="0" fontId="1" fillId="3" borderId="0" xfId="0" applyFont="1" applyFill="1" applyBorder="1"/>
    <xf numFmtId="0" fontId="1" fillId="3" borderId="0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center"/>
    </xf>
    <xf numFmtId="0" fontId="0" fillId="8" borderId="0" xfId="0" applyFill="1"/>
    <xf numFmtId="0" fontId="0" fillId="8" borderId="0" xfId="0" applyFill="1" applyBorder="1"/>
    <xf numFmtId="0" fontId="1" fillId="4" borderId="4" xfId="0" applyFont="1" applyFill="1" applyBorder="1" applyAlignment="1">
      <alignment vertical="center"/>
    </xf>
    <xf numFmtId="0" fontId="1" fillId="4" borderId="7" xfId="0" applyFont="1" applyFill="1" applyBorder="1" applyAlignment="1">
      <alignment vertical="center"/>
    </xf>
    <xf numFmtId="14" fontId="1" fillId="4" borderId="2" xfId="0" applyNumberFormat="1" applyFont="1" applyFill="1" applyBorder="1" applyAlignment="1"/>
    <xf numFmtId="0" fontId="1" fillId="4" borderId="8" xfId="0" applyFont="1" applyFill="1" applyBorder="1" applyAlignment="1"/>
    <xf numFmtId="4" fontId="1" fillId="4" borderId="5" xfId="0" applyNumberFormat="1" applyFont="1" applyFill="1" applyBorder="1"/>
    <xf numFmtId="0" fontId="0" fillId="8" borderId="1" xfId="0" applyFill="1" applyBorder="1"/>
    <xf numFmtId="0" fontId="0" fillId="9" borderId="0" xfId="0" applyFill="1" applyBorder="1"/>
    <xf numFmtId="0" fontId="0" fillId="9" borderId="0" xfId="0" applyFill="1" applyBorder="1" applyAlignment="1">
      <alignment horizontal="left"/>
    </xf>
    <xf numFmtId="0" fontId="0" fillId="9" borderId="0" xfId="0" applyFill="1" applyBorder="1" applyAlignment="1">
      <alignment horizontal="right"/>
    </xf>
    <xf numFmtId="14" fontId="0" fillId="9" borderId="0" xfId="0" applyNumberFormat="1" applyFill="1" applyBorder="1" applyAlignment="1">
      <alignment horizontal="center"/>
    </xf>
    <xf numFmtId="0" fontId="11" fillId="6" borderId="0" xfId="0" applyFont="1" applyFill="1" applyBorder="1" applyAlignment="1"/>
    <xf numFmtId="0" fontId="4" fillId="4" borderId="1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center"/>
    </xf>
    <xf numFmtId="2" fontId="5" fillId="6" borderId="0" xfId="0" applyNumberFormat="1" applyFont="1" applyFill="1" applyBorder="1" applyAlignment="1" applyProtection="1">
      <alignment horizontal="center"/>
      <protection locked="0"/>
    </xf>
    <xf numFmtId="0" fontId="0" fillId="9" borderId="0" xfId="0" applyFill="1" applyBorder="1" applyAlignment="1">
      <alignment horizontal="center" vertic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0" fillId="9" borderId="20" xfId="0" applyFill="1" applyBorder="1"/>
    <xf numFmtId="0" fontId="0" fillId="9" borderId="21" xfId="0" applyFill="1" applyBorder="1"/>
    <xf numFmtId="0" fontId="0" fillId="9" borderId="21" xfId="0" applyFont="1" applyFill="1" applyBorder="1"/>
    <xf numFmtId="0" fontId="7" fillId="9" borderId="0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Border="1" applyAlignment="1"/>
    <xf numFmtId="14" fontId="5" fillId="6" borderId="0" xfId="0" applyNumberFormat="1" applyFont="1" applyFill="1" applyBorder="1" applyAlignment="1" applyProtection="1">
      <protection locked="0"/>
    </xf>
    <xf numFmtId="0" fontId="5" fillId="6" borderId="4" xfId="0" applyFont="1" applyFill="1" applyBorder="1" applyAlignment="1" applyProtection="1">
      <protection locked="0"/>
    </xf>
    <xf numFmtId="2" fontId="5" fillId="6" borderId="0" xfId="0" applyNumberFormat="1" applyFont="1" applyFill="1" applyBorder="1" applyAlignment="1" applyProtection="1">
      <protection locked="0"/>
    </xf>
    <xf numFmtId="0" fontId="6" fillId="9" borderId="0" xfId="0" applyFont="1" applyFill="1" applyBorder="1" applyAlignment="1">
      <alignment vertical="center"/>
    </xf>
    <xf numFmtId="14" fontId="5" fillId="6" borderId="0" xfId="0" applyNumberFormat="1" applyFont="1" applyFill="1" applyBorder="1" applyAlignment="1" applyProtection="1">
      <alignment horizontal="center" vertical="center"/>
      <protection locked="0"/>
    </xf>
    <xf numFmtId="2" fontId="5" fillId="6" borderId="0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/>
    <xf numFmtId="0" fontId="0" fillId="6" borderId="4" xfId="0" applyFill="1" applyBorder="1"/>
    <xf numFmtId="0" fontId="0" fillId="9" borderId="4" xfId="0" applyFill="1" applyBorder="1" applyAlignment="1">
      <alignment horizontal="center" vertical="center"/>
    </xf>
    <xf numFmtId="0" fontId="0" fillId="10" borderId="0" xfId="0" applyFill="1" applyBorder="1"/>
    <xf numFmtId="0" fontId="1" fillId="10" borderId="0" xfId="0" applyFont="1" applyFill="1" applyBorder="1"/>
    <xf numFmtId="0" fontId="4" fillId="4" borderId="7" xfId="0" applyFont="1" applyFill="1" applyBorder="1" applyAlignment="1">
      <alignment horizontal="right" vertical="center"/>
    </xf>
    <xf numFmtId="0" fontId="1" fillId="4" borderId="7" xfId="0" applyFont="1" applyFill="1" applyBorder="1"/>
    <xf numFmtId="0" fontId="3" fillId="10" borderId="0" xfId="0" applyFont="1" applyFill="1" applyBorder="1" applyAlignment="1">
      <alignment horizontal="right" vertical="center"/>
    </xf>
    <xf numFmtId="2" fontId="1" fillId="10" borderId="0" xfId="0" applyNumberFormat="1" applyFont="1" applyFill="1" applyBorder="1" applyAlignment="1">
      <alignment horizontal="center"/>
    </xf>
    <xf numFmtId="0" fontId="3" fillId="10" borderId="0" xfId="0" applyFont="1" applyFill="1" applyBorder="1" applyAlignment="1">
      <alignment vertical="center"/>
    </xf>
    <xf numFmtId="2" fontId="15" fillId="10" borderId="0" xfId="0" applyNumberFormat="1" applyFont="1" applyFill="1" applyBorder="1" applyAlignment="1">
      <alignment horizontal="center" vertical="center"/>
    </xf>
    <xf numFmtId="0" fontId="15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vertical="center"/>
    </xf>
    <xf numFmtId="0" fontId="5" fillId="6" borderId="0" xfId="0" applyNumberFormat="1" applyFont="1" applyFill="1" applyBorder="1" applyAlignment="1" applyProtection="1">
      <alignment horizontal="center" vertical="center"/>
      <protection locked="0"/>
    </xf>
    <xf numFmtId="0" fontId="16" fillId="10" borderId="1" xfId="0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/>
    </xf>
    <xf numFmtId="0" fontId="5" fillId="6" borderId="7" xfId="0" applyFont="1" applyFill="1" applyBorder="1" applyAlignment="1">
      <alignment horizontal="right"/>
    </xf>
    <xf numFmtId="2" fontId="9" fillId="10" borderId="0" xfId="0" applyNumberFormat="1" applyFont="1" applyFill="1" applyBorder="1" applyAlignment="1">
      <alignment horizontal="center"/>
    </xf>
    <xf numFmtId="2" fontId="17" fillId="10" borderId="0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/>
    <xf numFmtId="0" fontId="0" fillId="0" borderId="0" xfId="0" applyNumberFormat="1"/>
    <xf numFmtId="0" fontId="2" fillId="3" borderId="0" xfId="0" applyFont="1" applyFill="1" applyBorder="1" applyAlignment="1">
      <alignment horizontal="right"/>
    </xf>
    <xf numFmtId="0" fontId="4" fillId="4" borderId="11" xfId="0" applyFont="1" applyFill="1" applyBorder="1"/>
    <xf numFmtId="0" fontId="4" fillId="4" borderId="1" xfId="0" applyFont="1" applyFill="1" applyBorder="1"/>
    <xf numFmtId="2" fontId="4" fillId="4" borderId="11" xfId="0" applyNumberFormat="1" applyFont="1" applyFill="1" applyBorder="1" applyAlignment="1">
      <alignment horizontal="center"/>
    </xf>
    <xf numFmtId="2" fontId="4" fillId="4" borderId="0" xfId="0" applyNumberFormat="1" applyFont="1" applyFill="1" applyBorder="1" applyAlignment="1">
      <alignment horizontal="center"/>
    </xf>
    <xf numFmtId="0" fontId="13" fillId="9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/>
    </xf>
    <xf numFmtId="4" fontId="1" fillId="4" borderId="0" xfId="0" applyNumberFormat="1" applyFont="1" applyFill="1" applyBorder="1" applyAlignment="1">
      <alignment horizontal="center"/>
    </xf>
    <xf numFmtId="0" fontId="13" fillId="9" borderId="0" xfId="0" applyFont="1" applyFill="1" applyBorder="1" applyAlignment="1">
      <alignment horizontal="left" vertical="center"/>
    </xf>
    <xf numFmtId="0" fontId="11" fillId="6" borderId="8" xfId="0" applyFont="1" applyFill="1" applyBorder="1" applyAlignment="1">
      <alignment horizontal="right"/>
    </xf>
    <xf numFmtId="0" fontId="10" fillId="6" borderId="5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>
      <alignment horizontal="right"/>
    </xf>
    <xf numFmtId="14" fontId="5" fillId="6" borderId="3" xfId="0" applyNumberFormat="1" applyFont="1" applyFill="1" applyBorder="1" applyAlignment="1" applyProtection="1">
      <alignment horizontal="center" vertical="center"/>
      <protection locked="0"/>
    </xf>
    <xf numFmtId="0" fontId="13" fillId="9" borderId="0" xfId="0" applyFont="1" applyFill="1" applyBorder="1" applyAlignment="1">
      <alignment horizontal="left" vertical="center"/>
    </xf>
    <xf numFmtId="0" fontId="0" fillId="8" borderId="18" xfId="0" applyFill="1" applyBorder="1" applyAlignment="1">
      <alignment horizontal="left"/>
    </xf>
    <xf numFmtId="0" fontId="17" fillId="9" borderId="0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left" vertical="center"/>
    </xf>
    <xf numFmtId="0" fontId="18" fillId="9" borderId="0" xfId="0" applyFont="1" applyFill="1" applyBorder="1" applyAlignment="1">
      <alignment horizontal="left" vertical="center"/>
    </xf>
    <xf numFmtId="0" fontId="3" fillId="10" borderId="0" xfId="0" applyFont="1" applyFill="1" applyBorder="1" applyAlignment="1">
      <alignment horizontal="left" vertical="center"/>
    </xf>
    <xf numFmtId="0" fontId="3" fillId="10" borderId="1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right" vertical="center"/>
    </xf>
    <xf numFmtId="0" fontId="17" fillId="10" borderId="1" xfId="0" applyFont="1" applyFill="1" applyBorder="1" applyAlignment="1">
      <alignment horizontal="right" vertical="center"/>
    </xf>
    <xf numFmtId="0" fontId="1" fillId="4" borderId="0" xfId="0" applyFont="1" applyFill="1" applyBorder="1" applyAlignment="1">
      <alignment horizontal="left" vertical="center"/>
    </xf>
    <xf numFmtId="2" fontId="1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/>
    </xf>
    <xf numFmtId="4" fontId="1" fillId="4" borderId="0" xfId="0" applyNumberFormat="1" applyFont="1" applyFill="1" applyBorder="1" applyAlignment="1">
      <alignment horizontal="center"/>
    </xf>
    <xf numFmtId="2" fontId="1" fillId="4" borderId="11" xfId="0" applyNumberFormat="1" applyFont="1" applyFill="1" applyBorder="1" applyAlignment="1">
      <alignment horizontal="center"/>
    </xf>
    <xf numFmtId="2" fontId="1" fillId="4" borderId="5" xfId="0" applyNumberFormat="1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2" fontId="4" fillId="4" borderId="22" xfId="0" applyNumberFormat="1" applyFont="1" applyFill="1" applyBorder="1" applyAlignment="1">
      <alignment horizontal="center"/>
    </xf>
    <xf numFmtId="2" fontId="4" fillId="4" borderId="23" xfId="0" applyNumberFormat="1" applyFont="1" applyFill="1" applyBorder="1" applyAlignment="1">
      <alignment horizontal="center"/>
    </xf>
    <xf numFmtId="0" fontId="4" fillId="4" borderId="4" xfId="0" applyFont="1" applyFill="1" applyBorder="1" applyAlignment="1">
      <alignment horizontal="left" vertical="center"/>
    </xf>
    <xf numFmtId="2" fontId="4" fillId="4" borderId="4" xfId="0" applyNumberFormat="1" applyFont="1" applyFill="1" applyBorder="1" applyAlignment="1">
      <alignment horizontal="center"/>
    </xf>
    <xf numFmtId="0" fontId="3" fillId="10" borderId="2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right" vertical="center"/>
    </xf>
    <xf numFmtId="0" fontId="3" fillId="10" borderId="8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1" fillId="4" borderId="3" xfId="0" applyNumberFormat="1" applyFont="1" applyFill="1" applyBorder="1" applyAlignment="1">
      <alignment horizontal="center"/>
    </xf>
    <xf numFmtId="2" fontId="1" fillId="4" borderId="4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2" fontId="1" fillId="3" borderId="0" xfId="0" applyNumberFormat="1" applyFont="1" applyFill="1" applyBorder="1" applyAlignment="1">
      <alignment horizontal="right" vertical="center"/>
    </xf>
    <xf numFmtId="0" fontId="1" fillId="3" borderId="0" xfId="0" applyFont="1" applyFill="1" applyBorder="1" applyAlignment="1">
      <alignment horizontal="right" vertical="center"/>
    </xf>
    <xf numFmtId="14" fontId="1" fillId="3" borderId="0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2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right" vertical="center"/>
    </xf>
    <xf numFmtId="2" fontId="2" fillId="2" borderId="4" xfId="0" applyNumberFormat="1" applyFont="1" applyFill="1" applyBorder="1" applyAlignment="1">
      <alignment horizontal="right" vertical="center"/>
    </xf>
    <xf numFmtId="2" fontId="2" fillId="2" borderId="0" xfId="0" applyNumberFormat="1" applyFont="1" applyFill="1" applyBorder="1" applyAlignment="1">
      <alignment horizontal="left" vertical="center"/>
    </xf>
    <xf numFmtId="2" fontId="2" fillId="2" borderId="1" xfId="0" applyNumberFormat="1" applyFont="1" applyFill="1" applyBorder="1" applyAlignment="1">
      <alignment horizontal="left" vertical="center"/>
    </xf>
    <xf numFmtId="2" fontId="2" fillId="2" borderId="4" xfId="0" applyNumberFormat="1" applyFont="1" applyFill="1" applyBorder="1" applyAlignment="1">
      <alignment horizontal="left" vertical="center"/>
    </xf>
    <xf numFmtId="2" fontId="2" fillId="2" borderId="7" xfId="0" applyNumberFormat="1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14" fontId="1" fillId="2" borderId="13" xfId="0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8" fillId="7" borderId="14" xfId="0" applyFont="1" applyFill="1" applyBorder="1" applyAlignment="1" applyProtection="1">
      <alignment horizontal="center" vertical="center"/>
      <protection locked="0"/>
    </xf>
    <xf numFmtId="0" fontId="7" fillId="7" borderId="15" xfId="0" applyFont="1" applyFill="1" applyBorder="1" applyAlignment="1" applyProtection="1">
      <alignment horizontal="center" vertical="center"/>
      <protection locked="0"/>
    </xf>
    <xf numFmtId="0" fontId="7" fillId="7" borderId="16" xfId="0" applyFont="1" applyFill="1" applyBorder="1" applyAlignment="1" applyProtection="1">
      <alignment horizontal="center" vertical="center"/>
      <protection locked="0"/>
    </xf>
    <xf numFmtId="0" fontId="7" fillId="7" borderId="17" xfId="0" applyFont="1" applyFill="1" applyBorder="1" applyAlignment="1" applyProtection="1">
      <alignment horizontal="center" vertical="center"/>
      <protection locked="0"/>
    </xf>
    <xf numFmtId="0" fontId="7" fillId="7" borderId="18" xfId="0" applyFont="1" applyFill="1" applyBorder="1" applyAlignment="1" applyProtection="1">
      <alignment horizontal="center" vertical="center"/>
      <protection locked="0"/>
    </xf>
    <xf numFmtId="0" fontId="7" fillId="7" borderId="19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left"/>
    </xf>
    <xf numFmtId="0" fontId="5" fillId="6" borderId="4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0" fillId="9" borderId="0" xfId="0" applyFont="1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9" fillId="9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8FC36B"/>
      <color rgb="FFC0FF81"/>
      <color rgb="FF7EBA56"/>
      <color rgb="FFABFF57"/>
      <color rgb="FFCCFF99"/>
      <color rgb="FFD5FFAB"/>
      <color rgb="FFE0FFC1"/>
      <color rgb="FFD9D9FF"/>
      <color rgb="FF9FF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16</xdr:row>
          <xdr:rowOff>15240</xdr:rowOff>
        </xdr:from>
        <xdr:to>
          <xdr:col>11</xdr:col>
          <xdr:colOff>38100</xdr:colOff>
          <xdr:row>17</xdr:row>
          <xdr:rowOff>152400</xdr:rowOff>
        </xdr:to>
        <xdr:sp macro="" textlink="">
          <xdr:nvSpPr>
            <xdr:cNvPr id="5121" name="btnCle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130629</xdr:colOff>
      <xdr:row>5</xdr:row>
      <xdr:rowOff>141514</xdr:rowOff>
    </xdr:from>
    <xdr:to>
      <xdr:col>11</xdr:col>
      <xdr:colOff>174171</xdr:colOff>
      <xdr:row>20</xdr:row>
      <xdr:rowOff>76200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0229" y="895894"/>
          <a:ext cx="7130142" cy="2403566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perspective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386F-5691-414B-8093-1F7FDEE4097F}">
  <sheetPr codeName="Sheet3"/>
  <dimension ref="A1:P67"/>
  <sheetViews>
    <sheetView tabSelected="1" zoomScaleNormal="100" workbookViewId="0">
      <selection activeCell="R14" sqref="R14"/>
    </sheetView>
  </sheetViews>
  <sheetFormatPr defaultRowHeight="14.4" x14ac:dyDescent="0.3"/>
  <cols>
    <col min="1" max="1" width="8.88671875" style="24"/>
    <col min="2" max="2" width="4.77734375" style="24" customWidth="1"/>
    <col min="3" max="3" width="15.33203125" customWidth="1"/>
    <col min="4" max="4" width="12.5546875" customWidth="1"/>
    <col min="5" max="5" width="9.77734375" customWidth="1"/>
    <col min="6" max="6" width="13.6640625" customWidth="1"/>
    <col min="7" max="7" width="11.6640625" customWidth="1"/>
    <col min="12" max="12" width="4.77734375" style="24" customWidth="1"/>
    <col min="13" max="13" width="8.88671875" style="24"/>
  </cols>
  <sheetData>
    <row r="1" spans="2:16" s="24" customFormat="1" x14ac:dyDescent="0.3"/>
    <row r="2" spans="2:16" s="24" customFormat="1" ht="15" thickBot="1" x14ac:dyDescent="0.35">
      <c r="B2" s="91" t="s">
        <v>47</v>
      </c>
      <c r="C2" s="91"/>
      <c r="D2" s="91"/>
      <c r="E2" s="91"/>
      <c r="F2" s="91"/>
      <c r="G2" s="91"/>
      <c r="H2" s="91"/>
      <c r="I2" s="91"/>
      <c r="J2" s="91"/>
      <c r="K2" s="91"/>
      <c r="L2" s="91"/>
    </row>
    <row r="3" spans="2:16" ht="15" thickBot="1" x14ac:dyDescent="0.35">
      <c r="B3" s="42"/>
      <c r="C3" s="43"/>
      <c r="D3" s="43"/>
      <c r="E3" s="43"/>
      <c r="F3" s="43"/>
      <c r="G3" s="43"/>
      <c r="H3" s="43"/>
      <c r="I3" s="43"/>
      <c r="J3" s="43"/>
      <c r="K3" s="43"/>
      <c r="L3" s="44"/>
    </row>
    <row r="4" spans="2:16" x14ac:dyDescent="0.3">
      <c r="B4" s="45"/>
      <c r="C4" s="154" t="s">
        <v>29</v>
      </c>
      <c r="D4" s="155"/>
      <c r="E4" s="155"/>
      <c r="F4" s="155"/>
      <c r="G4" s="155"/>
      <c r="H4" s="155"/>
      <c r="I4" s="155"/>
      <c r="J4" s="155"/>
      <c r="K4" s="156"/>
      <c r="L4" s="46"/>
    </row>
    <row r="5" spans="2:16" ht="15" thickBot="1" x14ac:dyDescent="0.35">
      <c r="B5" s="45"/>
      <c r="C5" s="157"/>
      <c r="D5" s="158"/>
      <c r="E5" s="158"/>
      <c r="F5" s="158"/>
      <c r="G5" s="158"/>
      <c r="H5" s="158"/>
      <c r="I5" s="158"/>
      <c r="J5" s="158"/>
      <c r="K5" s="159"/>
      <c r="L5" s="46"/>
    </row>
    <row r="6" spans="2:16" x14ac:dyDescent="0.3">
      <c r="B6" s="45"/>
      <c r="C6" s="48"/>
      <c r="D6" s="48"/>
      <c r="E6" s="48"/>
      <c r="F6" s="48"/>
      <c r="G6" s="48"/>
      <c r="H6" s="48"/>
      <c r="I6" s="48"/>
      <c r="J6" s="48"/>
      <c r="K6" s="48"/>
      <c r="L6" s="46"/>
    </row>
    <row r="7" spans="2:16" x14ac:dyDescent="0.3">
      <c r="B7" s="45"/>
      <c r="C7" s="58"/>
      <c r="D7" s="58"/>
      <c r="E7" s="58"/>
      <c r="F7" s="58"/>
      <c r="G7" s="58"/>
      <c r="H7" s="58"/>
      <c r="I7" s="58"/>
      <c r="J7" s="58"/>
      <c r="K7" s="41"/>
      <c r="L7" s="46"/>
    </row>
    <row r="8" spans="2:16" ht="14.4" customHeight="1" x14ac:dyDescent="0.3">
      <c r="B8" s="45"/>
      <c r="C8" s="160" t="s">
        <v>33</v>
      </c>
      <c r="D8" s="160"/>
      <c r="E8" s="160"/>
      <c r="F8" s="160"/>
      <c r="G8" s="160"/>
      <c r="H8" s="160"/>
      <c r="I8" s="160"/>
      <c r="J8" s="160"/>
      <c r="K8" s="53"/>
      <c r="L8" s="46"/>
      <c r="P8" s="20"/>
    </row>
    <row r="9" spans="2:16" ht="14.4" customHeight="1" x14ac:dyDescent="0.3">
      <c r="B9" s="45"/>
      <c r="C9" s="161"/>
      <c r="D9" s="161"/>
      <c r="E9" s="161"/>
      <c r="F9" s="162"/>
      <c r="G9" s="161"/>
      <c r="H9" s="161"/>
      <c r="I9" s="161"/>
      <c r="J9" s="161"/>
      <c r="K9" s="53"/>
      <c r="L9" s="46"/>
    </row>
    <row r="10" spans="2:16" ht="15.6" x14ac:dyDescent="0.3">
      <c r="B10" s="45"/>
      <c r="C10" s="36" t="s">
        <v>34</v>
      </c>
      <c r="D10" s="36"/>
      <c r="E10" s="86" t="s">
        <v>41</v>
      </c>
      <c r="F10" s="87"/>
      <c r="G10" s="49"/>
      <c r="H10" s="56"/>
      <c r="I10" s="56"/>
      <c r="J10" s="56"/>
      <c r="K10" s="32"/>
      <c r="L10" s="46"/>
    </row>
    <row r="11" spans="2:16" ht="15.6" x14ac:dyDescent="0.3">
      <c r="B11" s="45"/>
      <c r="C11" s="163" t="s">
        <v>32</v>
      </c>
      <c r="D11" s="163"/>
      <c r="E11" s="71"/>
      <c r="F11" s="54"/>
      <c r="G11" s="50"/>
      <c r="H11" s="56"/>
      <c r="I11" s="56"/>
      <c r="J11" s="56"/>
      <c r="K11" s="32"/>
      <c r="L11" s="46"/>
    </row>
    <row r="12" spans="2:16" ht="15.6" x14ac:dyDescent="0.3">
      <c r="B12" s="45"/>
      <c r="C12" s="164" t="s">
        <v>31</v>
      </c>
      <c r="D12" s="164"/>
      <c r="E12" s="72"/>
      <c r="F12" s="89"/>
      <c r="G12" s="51"/>
      <c r="H12" s="57"/>
      <c r="I12" s="57"/>
      <c r="J12" s="57"/>
      <c r="K12" s="32"/>
      <c r="L12" s="46"/>
    </row>
    <row r="13" spans="2:16" ht="15.6" x14ac:dyDescent="0.3">
      <c r="B13" s="45"/>
      <c r="C13" s="163" t="s">
        <v>30</v>
      </c>
      <c r="D13" s="163"/>
      <c r="E13" s="88" t="s">
        <v>42</v>
      </c>
      <c r="F13" s="55"/>
      <c r="G13" s="52"/>
      <c r="H13" s="56"/>
      <c r="I13" s="56"/>
      <c r="J13" s="56"/>
      <c r="K13" s="32"/>
      <c r="L13" s="46"/>
      <c r="O13" s="76"/>
    </row>
    <row r="14" spans="2:16" ht="15.6" x14ac:dyDescent="0.3">
      <c r="B14" s="45"/>
      <c r="C14" s="163" t="s">
        <v>43</v>
      </c>
      <c r="D14" s="163"/>
      <c r="E14" s="165"/>
      <c r="F14" s="55"/>
      <c r="G14" s="40"/>
      <c r="H14" s="56"/>
      <c r="I14" s="56"/>
      <c r="J14" s="56"/>
      <c r="K14" s="32"/>
      <c r="L14" s="46"/>
    </row>
    <row r="15" spans="2:16" ht="15.6" x14ac:dyDescent="0.3">
      <c r="B15" s="45"/>
      <c r="C15" s="163" t="str" cm="1">
        <f t="array" ref="C15" xml:space="preserve"> overdueOC(F14)</f>
        <v xml:space="preserve"> </v>
      </c>
      <c r="D15" s="163"/>
      <c r="E15" s="165"/>
      <c r="F15" s="69"/>
      <c r="G15" s="40"/>
      <c r="H15" s="56"/>
      <c r="I15" s="56"/>
      <c r="J15" s="56"/>
      <c r="K15" s="32"/>
      <c r="L15" s="46"/>
      <c r="O15" s="76"/>
    </row>
    <row r="16" spans="2:16" x14ac:dyDescent="0.3">
      <c r="B16" s="45"/>
      <c r="C16" s="166" t="s">
        <v>35</v>
      </c>
      <c r="D16" s="166"/>
      <c r="E16" s="166"/>
      <c r="F16" s="166"/>
      <c r="G16" s="166"/>
      <c r="H16" s="166"/>
      <c r="I16" s="166"/>
      <c r="J16" s="166"/>
      <c r="K16" s="166"/>
      <c r="L16" s="47"/>
    </row>
    <row r="17" spans="2:12" x14ac:dyDescent="0.3">
      <c r="B17" s="45"/>
      <c r="C17" s="90" t="s">
        <v>36</v>
      </c>
      <c r="D17" s="167"/>
      <c r="E17" s="167"/>
      <c r="F17" s="167"/>
      <c r="G17" s="167"/>
      <c r="H17" s="167"/>
      <c r="I17" s="167"/>
      <c r="J17" s="167"/>
      <c r="K17" s="167"/>
      <c r="L17" s="46"/>
    </row>
    <row r="18" spans="2:12" x14ac:dyDescent="0.3">
      <c r="B18" s="45"/>
      <c r="C18" s="90" t="s">
        <v>52</v>
      </c>
      <c r="D18" s="90"/>
      <c r="E18" s="90"/>
      <c r="F18" s="90"/>
      <c r="G18" s="90"/>
      <c r="H18" s="90"/>
      <c r="I18" s="90"/>
      <c r="J18" s="90"/>
      <c r="K18" s="90"/>
      <c r="L18" s="46"/>
    </row>
    <row r="19" spans="2:12" x14ac:dyDescent="0.3">
      <c r="B19" s="45"/>
      <c r="C19" s="90" t="s">
        <v>51</v>
      </c>
      <c r="D19" s="90"/>
      <c r="E19" s="90"/>
      <c r="F19" s="90"/>
      <c r="G19" s="90"/>
      <c r="H19" s="90"/>
      <c r="I19" s="90"/>
      <c r="J19" s="90"/>
      <c r="K19" s="82"/>
      <c r="L19" s="46"/>
    </row>
    <row r="20" spans="2:12" x14ac:dyDescent="0.3">
      <c r="B20" s="45"/>
      <c r="C20" s="90" t="s">
        <v>54</v>
      </c>
      <c r="D20" s="90"/>
      <c r="E20" s="90"/>
      <c r="F20" s="90"/>
      <c r="G20" s="90"/>
      <c r="H20" s="90"/>
      <c r="I20" s="90"/>
      <c r="J20" s="85"/>
      <c r="K20" s="85"/>
      <c r="L20" s="46"/>
    </row>
    <row r="21" spans="2:12" x14ac:dyDescent="0.3">
      <c r="B21" s="45"/>
      <c r="C21" s="33"/>
      <c r="D21" s="33"/>
      <c r="E21" s="34"/>
      <c r="F21" s="35"/>
      <c r="G21" s="35"/>
      <c r="H21" s="32"/>
      <c r="I21" s="32"/>
      <c r="J21" s="32"/>
      <c r="K21" s="32"/>
      <c r="L21" s="46"/>
    </row>
    <row r="22" spans="2:12" ht="15.6" x14ac:dyDescent="0.3">
      <c r="B22" s="45"/>
      <c r="C22" s="168" t="s">
        <v>50</v>
      </c>
      <c r="D22" s="168"/>
      <c r="E22" s="168"/>
      <c r="F22" s="168"/>
      <c r="G22" s="168"/>
      <c r="H22" s="168"/>
      <c r="I22" s="168"/>
      <c r="J22" s="168"/>
      <c r="K22" s="168"/>
      <c r="L22" s="46"/>
    </row>
    <row r="23" spans="2:12" ht="15.6" x14ac:dyDescent="0.3">
      <c r="B23" s="45"/>
      <c r="C23" s="144" t="s">
        <v>28</v>
      </c>
      <c r="D23" s="144"/>
      <c r="E23" s="144"/>
      <c r="F23" s="144"/>
      <c r="G23" s="146">
        <f>G28</f>
        <v>0</v>
      </c>
      <c r="H23" s="146"/>
      <c r="I23" s="147"/>
      <c r="J23" s="150" t="s">
        <v>0</v>
      </c>
      <c r="K23" s="151"/>
      <c r="L23" s="46"/>
    </row>
    <row r="24" spans="2:12" ht="15.6" x14ac:dyDescent="0.3">
      <c r="B24" s="45"/>
      <c r="C24" s="145"/>
      <c r="D24" s="145"/>
      <c r="E24" s="145"/>
      <c r="F24" s="145"/>
      <c r="G24" s="148"/>
      <c r="H24" s="148"/>
      <c r="I24" s="149"/>
      <c r="J24" s="152">
        <f>F11</f>
        <v>0</v>
      </c>
      <c r="K24" s="153"/>
      <c r="L24" s="46"/>
    </row>
    <row r="25" spans="2:12" ht="15.6" x14ac:dyDescent="0.3">
      <c r="B25" s="45"/>
      <c r="C25" s="21"/>
      <c r="D25" s="21"/>
      <c r="E25" s="21"/>
      <c r="F25" s="22"/>
      <c r="G25" s="130" t="s">
        <v>4</v>
      </c>
      <c r="H25" s="130"/>
      <c r="I25" s="13"/>
      <c r="J25" s="131" t="s">
        <v>5</v>
      </c>
      <c r="K25" s="130"/>
      <c r="L25" s="46"/>
    </row>
    <row r="26" spans="2:12" ht="15.6" x14ac:dyDescent="0.3">
      <c r="B26" s="45"/>
      <c r="C26" s="132" t="s">
        <v>2</v>
      </c>
      <c r="D26" s="132"/>
      <c r="E26" s="39"/>
      <c r="F26" s="22" t="s">
        <v>6</v>
      </c>
      <c r="G26" s="133">
        <f>E63</f>
        <v>0</v>
      </c>
      <c r="H26" s="134"/>
      <c r="I26" s="1"/>
      <c r="J26" s="135">
        <f>F12</f>
        <v>0</v>
      </c>
      <c r="K26" s="136"/>
      <c r="L26" s="46"/>
    </row>
    <row r="27" spans="2:12" ht="15.6" x14ac:dyDescent="0.3">
      <c r="B27" s="45"/>
      <c r="C27" s="132" t="s">
        <v>1</v>
      </c>
      <c r="D27" s="132"/>
      <c r="E27" s="39"/>
      <c r="F27" s="22" t="s">
        <v>6</v>
      </c>
      <c r="G27" s="133">
        <f>J56</f>
        <v>0</v>
      </c>
      <c r="H27" s="134"/>
      <c r="I27" s="21"/>
      <c r="J27" s="21"/>
      <c r="K27" s="21"/>
      <c r="L27" s="46"/>
    </row>
    <row r="28" spans="2:12" ht="15.6" x14ac:dyDescent="0.3">
      <c r="B28" s="45"/>
      <c r="C28" s="137" t="s">
        <v>3</v>
      </c>
      <c r="D28" s="137"/>
      <c r="E28" s="23"/>
      <c r="F28" s="77" t="s">
        <v>6</v>
      </c>
      <c r="G28" s="138">
        <f>G26+G27</f>
        <v>0</v>
      </c>
      <c r="H28" s="139"/>
      <c r="I28" s="21"/>
      <c r="J28" s="21"/>
      <c r="K28" s="21"/>
      <c r="L28" s="46"/>
    </row>
    <row r="29" spans="2:12" ht="14.4" customHeight="1" x14ac:dyDescent="0.3">
      <c r="B29" s="45"/>
      <c r="C29" s="21"/>
      <c r="D29" s="21"/>
      <c r="E29" s="21"/>
      <c r="F29" s="22"/>
      <c r="G29" s="21"/>
      <c r="H29" s="21"/>
      <c r="I29" s="21"/>
      <c r="J29" s="21"/>
      <c r="K29" s="21"/>
      <c r="L29" s="46"/>
    </row>
    <row r="30" spans="2:12" ht="15.6" x14ac:dyDescent="0.3">
      <c r="B30" s="45"/>
      <c r="C30" s="118" t="s">
        <v>7</v>
      </c>
      <c r="D30" s="140" t="s">
        <v>13</v>
      </c>
      <c r="E30" s="142" t="s">
        <v>27</v>
      </c>
      <c r="F30" s="142"/>
      <c r="G30" s="19"/>
      <c r="H30" s="28"/>
      <c r="I30" s="29"/>
      <c r="J30" s="126" t="s">
        <v>8</v>
      </c>
      <c r="K30" s="127"/>
      <c r="L30" s="46"/>
    </row>
    <row r="31" spans="2:12" ht="15.6" x14ac:dyDescent="0.3">
      <c r="B31" s="45"/>
      <c r="C31" s="120"/>
      <c r="D31" s="141"/>
      <c r="E31" s="143"/>
      <c r="F31" s="143"/>
      <c r="G31" s="26"/>
      <c r="H31" s="26"/>
      <c r="I31" s="27"/>
      <c r="J31" s="128">
        <v>1</v>
      </c>
      <c r="K31" s="129"/>
      <c r="L31" s="46"/>
    </row>
    <row r="32" spans="2:12" ht="15.6" x14ac:dyDescent="0.3">
      <c r="B32" s="45"/>
      <c r="C32" s="125" t="s">
        <v>9</v>
      </c>
      <c r="D32" s="125"/>
      <c r="E32" s="125" t="s">
        <v>10</v>
      </c>
      <c r="F32" s="125"/>
      <c r="G32" s="125"/>
      <c r="H32" s="125" t="s">
        <v>11</v>
      </c>
      <c r="I32" s="125"/>
      <c r="J32" s="125" t="s">
        <v>12</v>
      </c>
      <c r="K32" s="125"/>
      <c r="L32" s="46"/>
    </row>
    <row r="33" spans="2:12" ht="15.6" x14ac:dyDescent="0.3">
      <c r="B33" s="45"/>
      <c r="C33" s="102">
        <v>200</v>
      </c>
      <c r="D33" s="102"/>
      <c r="E33" s="102" cm="1">
        <f t="array" ref="E33" xml:space="preserve"> proratedBlock1(F10)</f>
        <v>0</v>
      </c>
      <c r="F33" s="102"/>
      <c r="G33" s="102"/>
      <c r="H33" s="102">
        <v>0.218</v>
      </c>
      <c r="I33" s="102"/>
      <c r="J33" s="103">
        <f>H33*E33</f>
        <v>0</v>
      </c>
      <c r="K33" s="103"/>
      <c r="L33" s="46"/>
    </row>
    <row r="34" spans="2:12" ht="15.6" x14ac:dyDescent="0.3">
      <c r="B34" s="45"/>
      <c r="C34" s="102">
        <v>100</v>
      </c>
      <c r="D34" s="102"/>
      <c r="E34" s="102" cm="1">
        <f t="array" ref="E34" xml:space="preserve"> proratedBlock2(F10)</f>
        <v>0</v>
      </c>
      <c r="F34" s="102"/>
      <c r="G34" s="102"/>
      <c r="H34" s="102">
        <v>0.33400000000000002</v>
      </c>
      <c r="I34" s="102"/>
      <c r="J34" s="103">
        <f>H34*E34</f>
        <v>0</v>
      </c>
      <c r="K34" s="103"/>
      <c r="L34" s="46"/>
    </row>
    <row r="35" spans="2:12" ht="15.6" x14ac:dyDescent="0.3">
      <c r="B35" s="45"/>
      <c r="C35" s="102">
        <v>300</v>
      </c>
      <c r="D35" s="102"/>
      <c r="E35" s="102" cm="1">
        <f t="array" ref="E35">proratedBlock3(F10)</f>
        <v>0</v>
      </c>
      <c r="F35" s="102"/>
      <c r="G35" s="102"/>
      <c r="H35" s="102">
        <v>0.51600000000000001</v>
      </c>
      <c r="I35" s="102"/>
      <c r="J35" s="103">
        <f>H35*E35</f>
        <v>0</v>
      </c>
      <c r="K35" s="103"/>
      <c r="L35" s="46"/>
    </row>
    <row r="36" spans="2:12" ht="15.6" x14ac:dyDescent="0.3">
      <c r="B36" s="45"/>
      <c r="C36" s="102">
        <v>300</v>
      </c>
      <c r="D36" s="102"/>
      <c r="E36" s="102" cm="1">
        <f t="array" ref="E36">proratedBlock4(F10)</f>
        <v>0</v>
      </c>
      <c r="F36" s="102"/>
      <c r="G36" s="102"/>
      <c r="H36" s="102">
        <v>0.54600000000000004</v>
      </c>
      <c r="I36" s="102"/>
      <c r="J36" s="103">
        <f>H36*E36</f>
        <v>0</v>
      </c>
      <c r="K36" s="103"/>
      <c r="L36" s="46"/>
    </row>
    <row r="37" spans="2:12" ht="15.6" x14ac:dyDescent="0.3">
      <c r="B37" s="45"/>
      <c r="C37" s="102" t="s">
        <v>25</v>
      </c>
      <c r="D37" s="102"/>
      <c r="E37" s="102" cm="1">
        <f t="array" ref="E37">proratedBlock5(F10)</f>
        <v>0</v>
      </c>
      <c r="F37" s="102"/>
      <c r="G37" s="102"/>
      <c r="H37" s="102">
        <v>0.57099999999999995</v>
      </c>
      <c r="I37" s="102"/>
      <c r="J37" s="103">
        <f>H37*E37</f>
        <v>0</v>
      </c>
      <c r="K37" s="103"/>
      <c r="L37" s="46"/>
    </row>
    <row r="38" spans="2:12" ht="15.6" x14ac:dyDescent="0.3">
      <c r="B38" s="45"/>
      <c r="C38" s="7"/>
      <c r="D38" s="7"/>
      <c r="E38" s="102"/>
      <c r="F38" s="102"/>
      <c r="G38" s="102"/>
      <c r="H38" s="7"/>
      <c r="I38" s="7"/>
      <c r="J38" s="7"/>
      <c r="K38" s="7"/>
      <c r="L38" s="46"/>
    </row>
    <row r="39" spans="2:12" ht="15.6" x14ac:dyDescent="0.3">
      <c r="B39" s="45"/>
      <c r="C39" s="102" t="s">
        <v>14</v>
      </c>
      <c r="D39" s="102"/>
      <c r="E39" s="102">
        <f>E33+E34+E35+E36+E37</f>
        <v>0</v>
      </c>
      <c r="F39" s="102"/>
      <c r="G39" s="102"/>
      <c r="H39" s="7"/>
      <c r="I39" s="7"/>
      <c r="J39" s="103" cm="1">
        <f t="array" ref="J39">amount(J33,J34,J35,J36,J37)</f>
        <v>0</v>
      </c>
      <c r="K39" s="103"/>
      <c r="L39" s="46"/>
    </row>
    <row r="40" spans="2:12" ht="15.6" x14ac:dyDescent="0.3">
      <c r="B40" s="45"/>
      <c r="C40" s="83"/>
      <c r="D40" s="83"/>
      <c r="E40" s="83"/>
      <c r="F40" s="83"/>
      <c r="G40" s="83"/>
      <c r="H40" s="7"/>
      <c r="I40" s="7"/>
      <c r="J40" s="84"/>
      <c r="K40" s="84"/>
      <c r="L40" s="46"/>
    </row>
    <row r="41" spans="2:12" ht="15.6" x14ac:dyDescent="0.3">
      <c r="B41" s="45"/>
      <c r="C41" s="124" t="s">
        <v>53</v>
      </c>
      <c r="D41" s="124"/>
      <c r="E41" s="124"/>
      <c r="F41" s="7"/>
      <c r="G41" s="7"/>
      <c r="H41" s="7"/>
      <c r="I41" s="7"/>
      <c r="J41" s="7"/>
      <c r="K41" s="7"/>
      <c r="L41" s="46"/>
    </row>
    <row r="42" spans="2:12" ht="15.6" x14ac:dyDescent="0.3">
      <c r="B42" s="45"/>
      <c r="C42" s="118" t="s">
        <v>15</v>
      </c>
      <c r="D42" s="118"/>
      <c r="E42" s="118"/>
      <c r="F42" s="118"/>
      <c r="G42" s="119"/>
      <c r="H42" s="10" t="s">
        <v>17</v>
      </c>
      <c r="I42" s="10" t="s">
        <v>18</v>
      </c>
      <c r="J42" s="122" t="s">
        <v>14</v>
      </c>
      <c r="K42" s="118"/>
      <c r="L42" s="46"/>
    </row>
    <row r="43" spans="2:12" ht="15.6" x14ac:dyDescent="0.3">
      <c r="B43" s="45"/>
      <c r="C43" s="120"/>
      <c r="D43" s="120"/>
      <c r="E43" s="120"/>
      <c r="F43" s="120"/>
      <c r="G43" s="121"/>
      <c r="H43" s="11" t="s">
        <v>16</v>
      </c>
      <c r="I43" s="12" t="s">
        <v>16</v>
      </c>
      <c r="J43" s="123"/>
      <c r="K43" s="120"/>
      <c r="L43" s="46"/>
    </row>
    <row r="44" spans="2:12" ht="15.6" x14ac:dyDescent="0.3">
      <c r="B44" s="45"/>
      <c r="C44" s="101" t="s">
        <v>21</v>
      </c>
      <c r="D44" s="101"/>
      <c r="E44" s="101"/>
      <c r="F44" s="101"/>
      <c r="G44" s="14" t="s">
        <v>22</v>
      </c>
      <c r="H44" s="4">
        <f>E33+E34+E35</f>
        <v>0</v>
      </c>
      <c r="I44" s="4">
        <f xml:space="preserve"> E36+E37</f>
        <v>0</v>
      </c>
      <c r="J44" s="102">
        <f>H44+I44</f>
        <v>0</v>
      </c>
      <c r="K44" s="102"/>
      <c r="L44" s="46"/>
    </row>
    <row r="45" spans="2:12" ht="15.6" x14ac:dyDescent="0.3">
      <c r="B45" s="45"/>
      <c r="C45" s="101" t="s">
        <v>23</v>
      </c>
      <c r="D45" s="101"/>
      <c r="E45" s="101"/>
      <c r="F45" s="101"/>
      <c r="G45" s="15" t="s">
        <v>6</v>
      </c>
      <c r="H45" s="18">
        <f>J33+J34+J35</f>
        <v>0</v>
      </c>
      <c r="I45" s="18">
        <f>J36+J37</f>
        <v>0</v>
      </c>
      <c r="J45" s="103">
        <f>H45+I45</f>
        <v>0</v>
      </c>
      <c r="K45" s="102"/>
      <c r="L45" s="46"/>
    </row>
    <row r="46" spans="2:12" ht="15.6" x14ac:dyDescent="0.3">
      <c r="B46" s="45"/>
      <c r="C46" s="99" t="s">
        <v>26</v>
      </c>
      <c r="D46" s="99"/>
      <c r="E46" s="99"/>
      <c r="F46" s="99"/>
      <c r="G46" s="5" t="s">
        <v>6</v>
      </c>
      <c r="H46" s="16" cm="1">
        <f t="array" ref="H46">- ICPT(F10)</f>
        <v>0</v>
      </c>
      <c r="I46" s="4"/>
      <c r="J46" s="104">
        <f>H46+I46</f>
        <v>0</v>
      </c>
      <c r="K46" s="102"/>
      <c r="L46" s="46"/>
    </row>
    <row r="47" spans="2:12" ht="15.6" x14ac:dyDescent="0.3">
      <c r="B47" s="45"/>
      <c r="C47" s="99" t="str" cm="1">
        <f t="array" ref="C47">pemulih(F10)</f>
        <v xml:space="preserve"> </v>
      </c>
      <c r="D47" s="99"/>
      <c r="E47" s="99"/>
      <c r="F47" s="99"/>
      <c r="G47" s="5" t="s">
        <v>6</v>
      </c>
      <c r="H47" s="4" cm="1">
        <f t="array" ref="H47">- pemulihDis(H45,H46)</f>
        <v>0</v>
      </c>
      <c r="I47" s="4"/>
      <c r="J47" s="7"/>
      <c r="K47" s="7"/>
      <c r="L47" s="46"/>
    </row>
    <row r="48" spans="2:12" ht="15.6" x14ac:dyDescent="0.3">
      <c r="B48" s="45"/>
      <c r="C48" s="7"/>
      <c r="D48" s="7"/>
      <c r="E48" s="7"/>
      <c r="F48" s="7"/>
      <c r="G48" s="5"/>
      <c r="H48" s="3"/>
      <c r="I48" s="3"/>
      <c r="J48" s="2"/>
      <c r="K48" s="2"/>
      <c r="L48" s="46"/>
    </row>
    <row r="49" spans="2:12" ht="15.6" x14ac:dyDescent="0.3">
      <c r="B49" s="45"/>
      <c r="C49" s="101" t="s">
        <v>24</v>
      </c>
      <c r="D49" s="101"/>
      <c r="E49" s="101"/>
      <c r="F49" s="101"/>
      <c r="G49" s="15" t="s">
        <v>6</v>
      </c>
      <c r="H49" s="17">
        <f>H45+H46+H47</f>
        <v>0</v>
      </c>
      <c r="I49" s="30">
        <f>I45</f>
        <v>0</v>
      </c>
      <c r="J49" s="105">
        <f>H49+I49</f>
        <v>0</v>
      </c>
      <c r="K49" s="106"/>
      <c r="L49" s="46"/>
    </row>
    <row r="50" spans="2:12" ht="15.6" x14ac:dyDescent="0.3">
      <c r="B50" s="45"/>
      <c r="C50" s="99" t="s">
        <v>19</v>
      </c>
      <c r="D50" s="99"/>
      <c r="E50" s="99"/>
      <c r="F50" s="99"/>
      <c r="G50" s="5" t="s">
        <v>6</v>
      </c>
      <c r="H50" s="6"/>
      <c r="I50" s="75">
        <f xml:space="preserve"> I45*0.06</f>
        <v>0</v>
      </c>
      <c r="J50" s="100">
        <f>I50</f>
        <v>0</v>
      </c>
      <c r="K50" s="100"/>
      <c r="L50" s="46"/>
    </row>
    <row r="51" spans="2:12" ht="15.6" x14ac:dyDescent="0.3">
      <c r="B51" s="45"/>
      <c r="C51" s="99" t="s">
        <v>20</v>
      </c>
      <c r="D51" s="99"/>
      <c r="E51" s="99"/>
      <c r="F51" s="99"/>
      <c r="G51" s="5" t="s">
        <v>6</v>
      </c>
      <c r="H51" s="6"/>
      <c r="I51" s="9"/>
      <c r="J51" s="100">
        <f>J39*0.016</f>
        <v>0</v>
      </c>
      <c r="K51" s="100"/>
      <c r="L51" s="46"/>
    </row>
    <row r="52" spans="2:12" ht="16.2" thickBot="1" x14ac:dyDescent="0.35">
      <c r="B52" s="45"/>
      <c r="C52" s="38" t="s">
        <v>45</v>
      </c>
      <c r="D52" s="38"/>
      <c r="E52" s="38"/>
      <c r="F52" s="38"/>
      <c r="G52" s="37"/>
      <c r="H52" s="78"/>
      <c r="I52" s="79"/>
      <c r="J52" s="110">
        <f>J49+J50+J51</f>
        <v>0</v>
      </c>
      <c r="K52" s="111"/>
      <c r="L52" s="46"/>
    </row>
    <row r="53" spans="2:12" ht="16.2" thickTop="1" x14ac:dyDescent="0.3">
      <c r="B53" s="45"/>
      <c r="C53" s="38"/>
      <c r="D53" s="38"/>
      <c r="E53" s="38"/>
      <c r="F53" s="38"/>
      <c r="G53" s="37"/>
      <c r="H53" s="78"/>
      <c r="I53" s="79"/>
      <c r="J53" s="80"/>
      <c r="K53" s="81"/>
      <c r="L53" s="46"/>
    </row>
    <row r="54" spans="2:12" ht="15.6" x14ac:dyDescent="0.3">
      <c r="B54" s="45"/>
      <c r="C54" s="7" t="s">
        <v>38</v>
      </c>
      <c r="D54" s="7"/>
      <c r="E54" s="7"/>
      <c r="F54" s="7"/>
      <c r="G54" s="5" t="s">
        <v>6</v>
      </c>
      <c r="H54" s="6"/>
      <c r="I54" s="9"/>
      <c r="J54" s="104" cm="1">
        <f t="array" ref="J54" xml:space="preserve"> penaltyCurrent(F12,J52)</f>
        <v>0</v>
      </c>
      <c r="K54" s="100"/>
      <c r="L54" s="46"/>
    </row>
    <row r="55" spans="2:12" ht="15.6" x14ac:dyDescent="0.3">
      <c r="B55" s="45"/>
      <c r="C55" s="7"/>
      <c r="D55" s="7"/>
      <c r="E55" s="7"/>
      <c r="F55" s="7"/>
      <c r="G55" s="5"/>
      <c r="H55" s="6"/>
      <c r="I55" s="9"/>
      <c r="J55" s="7"/>
      <c r="K55" s="7"/>
      <c r="L55" s="46"/>
    </row>
    <row r="56" spans="2:12" ht="15.6" x14ac:dyDescent="0.3">
      <c r="B56" s="45"/>
      <c r="C56" s="112" t="s">
        <v>46</v>
      </c>
      <c r="D56" s="112"/>
      <c r="E56" s="112"/>
      <c r="F56" s="112"/>
      <c r="G56" s="61" t="s">
        <v>6</v>
      </c>
      <c r="H56" s="8"/>
      <c r="I56" s="62"/>
      <c r="J56" s="113">
        <f>J49+J50+J51+J54</f>
        <v>0</v>
      </c>
      <c r="K56" s="113"/>
      <c r="L56" s="46"/>
    </row>
    <row r="57" spans="2:12" ht="15.6" customHeight="1" x14ac:dyDescent="0.3">
      <c r="B57" s="45"/>
      <c r="C57" s="114" t="s">
        <v>37</v>
      </c>
      <c r="D57" s="114"/>
      <c r="E57" s="114"/>
      <c r="F57" s="114"/>
      <c r="G57" s="114"/>
      <c r="H57" s="114"/>
      <c r="I57" s="114"/>
      <c r="J57" s="114"/>
      <c r="K57" s="114"/>
      <c r="L57" s="46"/>
    </row>
    <row r="58" spans="2:12" ht="15.6" customHeight="1" x14ac:dyDescent="0.3">
      <c r="B58" s="45"/>
      <c r="C58" s="115"/>
      <c r="D58" s="115"/>
      <c r="E58" s="115"/>
      <c r="F58" s="115"/>
      <c r="G58" s="115"/>
      <c r="H58" s="115"/>
      <c r="I58" s="115"/>
      <c r="J58" s="115"/>
      <c r="K58" s="115"/>
      <c r="L58" s="46"/>
    </row>
    <row r="59" spans="2:12" ht="15.6" x14ac:dyDescent="0.3">
      <c r="B59" s="45"/>
      <c r="C59" s="116" t="s">
        <v>40</v>
      </c>
      <c r="D59" s="117"/>
      <c r="E59" s="66">
        <f>F13</f>
        <v>0</v>
      </c>
      <c r="F59" s="65"/>
      <c r="G59" s="63"/>
      <c r="H59" s="60"/>
      <c r="I59" s="60"/>
      <c r="J59" s="64"/>
      <c r="K59" s="64"/>
      <c r="L59" s="46"/>
    </row>
    <row r="60" spans="2:12" ht="15.6" x14ac:dyDescent="0.3">
      <c r="B60" s="45"/>
      <c r="C60" s="95" t="s">
        <v>49</v>
      </c>
      <c r="D60" s="96"/>
      <c r="E60" s="67" cm="1">
        <f t="array" ref="E60" xml:space="preserve"> overdueDays(F14,F15)</f>
        <v>0</v>
      </c>
      <c r="F60" s="65"/>
      <c r="G60" s="63"/>
      <c r="H60" s="60"/>
      <c r="I60" s="60"/>
      <c r="J60" s="64"/>
      <c r="K60" s="64"/>
      <c r="L60" s="46"/>
    </row>
    <row r="61" spans="2:12" ht="15.6" x14ac:dyDescent="0.3">
      <c r="B61" s="45"/>
      <c r="C61" s="68" t="s">
        <v>39</v>
      </c>
      <c r="D61" s="70" t="s">
        <v>6</v>
      </c>
      <c r="E61" s="73">
        <f xml:space="preserve"> (E59) * 0.01 * (E60/30)</f>
        <v>0</v>
      </c>
      <c r="F61" s="59"/>
      <c r="G61" s="59"/>
      <c r="H61" s="59"/>
      <c r="I61" s="59"/>
      <c r="J61" s="59"/>
      <c r="K61" s="59"/>
      <c r="L61" s="46"/>
    </row>
    <row r="62" spans="2:12" ht="15.6" x14ac:dyDescent="0.3">
      <c r="B62" s="45"/>
      <c r="C62" s="68"/>
      <c r="D62" s="70"/>
      <c r="E62" s="59"/>
      <c r="F62" s="59"/>
      <c r="G62" s="59"/>
      <c r="H62" s="59"/>
      <c r="I62" s="59"/>
      <c r="J62" s="59"/>
      <c r="K62" s="59"/>
      <c r="L62" s="46"/>
    </row>
    <row r="63" spans="2:12" ht="15.6" x14ac:dyDescent="0.3">
      <c r="B63" s="45"/>
      <c r="C63" s="97" t="s">
        <v>44</v>
      </c>
      <c r="D63" s="98"/>
      <c r="E63" s="74">
        <f xml:space="preserve"> E59+E61</f>
        <v>0</v>
      </c>
      <c r="F63" s="59"/>
      <c r="G63" s="59"/>
      <c r="H63" s="59"/>
      <c r="I63" s="59"/>
      <c r="J63" s="59"/>
      <c r="K63" s="59"/>
      <c r="L63" s="46"/>
    </row>
    <row r="64" spans="2:12" ht="15.6" x14ac:dyDescent="0.3">
      <c r="B64" s="45"/>
      <c r="C64" s="92"/>
      <c r="D64" s="92"/>
      <c r="E64" s="92"/>
      <c r="F64" s="92"/>
      <c r="G64" s="92"/>
      <c r="H64" s="92"/>
      <c r="I64" s="92"/>
      <c r="J64" s="92"/>
      <c r="K64" s="92"/>
      <c r="L64" s="46"/>
    </row>
    <row r="65" spans="1:12" x14ac:dyDescent="0.3">
      <c r="B65" s="45"/>
      <c r="C65" s="93" t="s">
        <v>48</v>
      </c>
      <c r="D65" s="94"/>
      <c r="E65" s="94"/>
      <c r="F65" s="94"/>
      <c r="G65" s="94"/>
      <c r="H65" s="94"/>
      <c r="I65" s="94"/>
      <c r="J65" s="94"/>
      <c r="K65" s="94"/>
      <c r="L65" s="46"/>
    </row>
    <row r="66" spans="1:12" ht="15" thickBot="1" x14ac:dyDescent="0.35">
      <c r="A66" s="25"/>
      <c r="B66" s="107"/>
      <c r="C66" s="108"/>
      <c r="D66" s="108"/>
      <c r="E66" s="108"/>
      <c r="F66" s="108"/>
      <c r="G66" s="108"/>
      <c r="H66" s="108"/>
      <c r="I66" s="108"/>
      <c r="J66" s="108"/>
      <c r="K66" s="108"/>
      <c r="L66" s="109"/>
    </row>
    <row r="67" spans="1:12" x14ac:dyDescent="0.3">
      <c r="A67" s="31"/>
    </row>
  </sheetData>
  <mergeCells count="87">
    <mergeCell ref="C23:F24"/>
    <mergeCell ref="G23:I24"/>
    <mergeCell ref="J23:K23"/>
    <mergeCell ref="J24:K24"/>
    <mergeCell ref="C4:K5"/>
    <mergeCell ref="C8:J9"/>
    <mergeCell ref="C11:D11"/>
    <mergeCell ref="C12:D12"/>
    <mergeCell ref="C13:D13"/>
    <mergeCell ref="C14:E14"/>
    <mergeCell ref="C15:E15"/>
    <mergeCell ref="C16:K16"/>
    <mergeCell ref="C17:K17"/>
    <mergeCell ref="C18:K18"/>
    <mergeCell ref="C22:K22"/>
    <mergeCell ref="C19:J19"/>
    <mergeCell ref="J30:K30"/>
    <mergeCell ref="J31:K31"/>
    <mergeCell ref="G25:H25"/>
    <mergeCell ref="J25:K25"/>
    <mergeCell ref="C26:D26"/>
    <mergeCell ref="G26:H26"/>
    <mergeCell ref="J26:K26"/>
    <mergeCell ref="C27:D27"/>
    <mergeCell ref="G27:H27"/>
    <mergeCell ref="C28:D28"/>
    <mergeCell ref="G28:H28"/>
    <mergeCell ref="C30:C31"/>
    <mergeCell ref="D30:D31"/>
    <mergeCell ref="E30:F31"/>
    <mergeCell ref="C32:D32"/>
    <mergeCell ref="E32:G32"/>
    <mergeCell ref="H32:I32"/>
    <mergeCell ref="J32:K32"/>
    <mergeCell ref="C33:D33"/>
    <mergeCell ref="E33:G33"/>
    <mergeCell ref="H33:I33"/>
    <mergeCell ref="J33:K33"/>
    <mergeCell ref="C34:D34"/>
    <mergeCell ref="E34:G34"/>
    <mergeCell ref="H34:I34"/>
    <mergeCell ref="J34:K34"/>
    <mergeCell ref="C35:D35"/>
    <mergeCell ref="E35:G35"/>
    <mergeCell ref="H35:I35"/>
    <mergeCell ref="J35:K35"/>
    <mergeCell ref="C36:D36"/>
    <mergeCell ref="E36:G36"/>
    <mergeCell ref="H36:I36"/>
    <mergeCell ref="J36:K36"/>
    <mergeCell ref="C37:D37"/>
    <mergeCell ref="E37:G37"/>
    <mergeCell ref="H37:I37"/>
    <mergeCell ref="J37:K37"/>
    <mergeCell ref="E38:G38"/>
    <mergeCell ref="C39:D39"/>
    <mergeCell ref="E39:G39"/>
    <mergeCell ref="J39:K39"/>
    <mergeCell ref="C42:G43"/>
    <mergeCell ref="J42:K43"/>
    <mergeCell ref="C41:E41"/>
    <mergeCell ref="J49:K49"/>
    <mergeCell ref="B66:L66"/>
    <mergeCell ref="J52:K52"/>
    <mergeCell ref="J54:K54"/>
    <mergeCell ref="C56:F56"/>
    <mergeCell ref="J56:K56"/>
    <mergeCell ref="C57:K58"/>
    <mergeCell ref="C59:D59"/>
    <mergeCell ref="C50:F50"/>
    <mergeCell ref="J50:K50"/>
    <mergeCell ref="C20:I20"/>
    <mergeCell ref="B2:L2"/>
    <mergeCell ref="C64:K64"/>
    <mergeCell ref="C65:K65"/>
    <mergeCell ref="C60:D60"/>
    <mergeCell ref="C63:D63"/>
    <mergeCell ref="C51:F51"/>
    <mergeCell ref="J51:K51"/>
    <mergeCell ref="C44:F44"/>
    <mergeCell ref="J44:K44"/>
    <mergeCell ref="C45:F45"/>
    <mergeCell ref="J45:K45"/>
    <mergeCell ref="C46:F46"/>
    <mergeCell ref="J46:K46"/>
    <mergeCell ref="C47:F47"/>
    <mergeCell ref="C49:F49"/>
  </mergeCells>
  <dataValidations count="12">
    <dataValidation type="list" allowBlank="1" showInputMessage="1" showErrorMessage="1" sqref="F14" xr:uid="{1CF01AA5-8406-415D-B0B5-62116270CEF1}">
      <formula1>"Yes, No"</formula1>
    </dataValidation>
    <dataValidation type="date" operator="greaterThanOrEqual" allowBlank="1" showInputMessage="1" showErrorMessage="1" sqref="K10:K11" xr:uid="{93D922D7-DA04-48F2-A024-1D81C4932580}">
      <formula1>44197</formula1>
    </dataValidation>
    <dataValidation type="whole" operator="greaterThanOrEqual" allowBlank="1" showInputMessage="1" showErrorMessage="1" errorTitle="ERROR !" error="Please enter numbers only." sqref="F10" xr:uid="{7FE55B49-0766-4681-AE66-57B06717633F}">
      <formula1>0</formula1>
    </dataValidation>
    <dataValidation type="date" operator="greaterThan" allowBlank="1" showInputMessage="1" showErrorMessage="1" errorTitle="ERROR !!!" error="Please input the correct date." sqref="F11 F12" xr:uid="{136014B6-19F9-4D72-A1B9-5346955B896A}">
      <formula1>43831</formula1>
    </dataValidation>
    <dataValidation type="decimal" operator="greaterThanOrEqual" allowBlank="1" showInputMessage="1" showErrorMessage="1" errorTitle="ERROR !!!" error="Please input only numbers." sqref="F13" xr:uid="{0DEB643F-D386-4241-937B-F6F1CDA96C2C}">
      <formula1>0</formula1>
    </dataValidation>
    <dataValidation type="whole" operator="greaterThanOrEqual" allowBlank="1" showInputMessage="1" showErrorMessage="1" errorTitle="ERROR !!!" error="Please input onlt numbers." sqref="F15" xr:uid="{46627656-F15A-4B87-BEBD-89689387890E}">
      <formula1>0</formula1>
    </dataValidation>
    <dataValidation allowBlank="1" showInputMessage="1" showErrorMessage="1" prompt="Service Tax is charged when the consumption is more than 600kWh." sqref="C50:F50" xr:uid="{0F5D61D1-24F2-4C2B-805B-D9E83A82679F}"/>
    <dataValidation allowBlank="1" showInputMessage="1" showErrorMessage="1" prompt="Kumpulan Wang Tenaga Boleh Baharu (RE Fund)" sqref="C51:F51" xr:uid="{5E470397-564E-4A91-BD79-62AAAA92D7F6}"/>
    <dataValidation allowBlank="1" showInputMessage="1" showErrorMessage="1" prompt="This is the current bill charges if the current bill is overdue." sqref="C56:F56" xr:uid="{A75CBE0E-DC94-49BA-A5C5-AAE05DC9C184}"/>
    <dataValidation allowBlank="1" showInputMessage="1" showErrorMessage="1" prompt="Penalty = amount * 1% * (no.of days overdue/30) " sqref="C54" xr:uid="{7DA1B914-D79E-4C52-8FAC-6311F7470AC7}"/>
    <dataValidation allowBlank="1" showInputMessage="1" showErrorMessage="1" prompt="Penalty = outstanding charge * 1% * (no.of days overdue/30) " sqref="C61" xr:uid="{DB56E18A-4E6E-4BDD-BB67-C0260E4E622C}"/>
    <dataValidation allowBlank="1" showInputMessage="1" showErrorMessage="1" prompt="Imbalance Cost Pass-Through" sqref="C46:F46" xr:uid="{BE1CF4CD-7F0A-4876-841C-4C22474DA2A2}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btnClear">
          <controlPr defaultSize="0" autoLine="0" r:id="rId5">
            <anchor moveWithCells="1">
              <from>
                <xdr:col>9</xdr:col>
                <xdr:colOff>381000</xdr:colOff>
                <xdr:row>16</xdr:row>
                <xdr:rowOff>15240</xdr:rowOff>
              </from>
              <to>
                <xdr:col>11</xdr:col>
                <xdr:colOff>38100</xdr:colOff>
                <xdr:row>17</xdr:row>
                <xdr:rowOff>152400</xdr:rowOff>
              </to>
            </anchor>
          </controlPr>
        </control>
      </mc:Choice>
      <mc:Fallback>
        <control shapeId="5121" r:id="rId4" name="bt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Filled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Sereneee</dc:creator>
  <cp:lastModifiedBy>Sereneee</cp:lastModifiedBy>
  <dcterms:created xsi:type="dcterms:W3CDTF">2021-08-30T14:35:39Z</dcterms:created>
  <dcterms:modified xsi:type="dcterms:W3CDTF">2021-09-05T04:23:30Z</dcterms:modified>
</cp:coreProperties>
</file>